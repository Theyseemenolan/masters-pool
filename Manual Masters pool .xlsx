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lanmckenna/Documents/Masters Pool 2026/"/>
    </mc:Choice>
  </mc:AlternateContent>
  <xr:revisionPtr revIDLastSave="0" documentId="8_{6184A81B-0287-1F41-B5AF-D2CC2E1B2A51}" xr6:coauthVersionLast="47" xr6:coauthVersionMax="47" xr10:uidLastSave="{00000000-0000-0000-0000-000000000000}"/>
  <bookViews>
    <workbookView xWindow="780" yWindow="1000" windowWidth="27640" windowHeight="15780" xr2:uid="{66CDFE0A-7FBD-5145-8CC4-AB082FD64BCC}"/>
  </bookViews>
  <sheets>
    <sheet name="Tiers" sheetId="2" r:id="rId1"/>
    <sheet name="Sheet1" sheetId="1" r:id="rId2"/>
  </sheets>
  <externalReferences>
    <externalReference r:id="rId3"/>
  </externalReferences>
  <calcPr calcId="18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65" i="1"/>
  <c r="B64" i="1"/>
  <c r="B60" i="1"/>
  <c r="B58" i="1"/>
  <c r="B57" i="1"/>
  <c r="B55" i="1"/>
  <c r="B51" i="1"/>
  <c r="B47" i="1"/>
  <c r="B46" i="1"/>
  <c r="B45" i="1"/>
  <c r="B44" i="1"/>
  <c r="B40" i="1"/>
  <c r="B37" i="1"/>
  <c r="B36" i="1"/>
  <c r="B33" i="1"/>
  <c r="B32" i="1"/>
  <c r="B31" i="1"/>
  <c r="B29" i="1"/>
  <c r="B25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N11" i="1"/>
  <c r="L11" i="1"/>
  <c r="J11" i="1"/>
  <c r="H11" i="1"/>
  <c r="F11" i="1"/>
  <c r="D11" i="1"/>
  <c r="B11" i="1"/>
  <c r="AN9" i="1"/>
  <c r="AL9" i="1"/>
  <c r="AJ9" i="1"/>
  <c r="AH9" i="1"/>
  <c r="AF9" i="1"/>
  <c r="AD9" i="1"/>
  <c r="AB9" i="1"/>
  <c r="Z9" i="1"/>
  <c r="X9" i="1"/>
  <c r="V9" i="1"/>
  <c r="T9" i="1"/>
  <c r="R9" i="1"/>
  <c r="P9" i="1"/>
  <c r="N9" i="1"/>
  <c r="L9" i="1"/>
  <c r="J9" i="1"/>
  <c r="H9" i="1"/>
  <c r="F9" i="1"/>
  <c r="D9" i="1"/>
  <c r="B9" i="1"/>
  <c r="AN8" i="1"/>
  <c r="AL8" i="1"/>
  <c r="AJ8" i="1"/>
  <c r="AH8" i="1"/>
  <c r="AF8" i="1"/>
  <c r="AD8" i="1"/>
  <c r="AB8" i="1"/>
  <c r="Z8" i="1"/>
  <c r="X8" i="1"/>
  <c r="V8" i="1"/>
  <c r="T8" i="1"/>
  <c r="R8" i="1"/>
  <c r="P8" i="1"/>
  <c r="N8" i="1"/>
  <c r="L8" i="1"/>
  <c r="J8" i="1"/>
  <c r="H8" i="1"/>
  <c r="F8" i="1"/>
  <c r="D8" i="1"/>
  <c r="B8" i="1"/>
  <c r="AN7" i="1"/>
  <c r="AL7" i="1"/>
  <c r="AJ7" i="1"/>
  <c r="AH7" i="1"/>
  <c r="AF7" i="1"/>
  <c r="AD7" i="1"/>
  <c r="AB7" i="1"/>
  <c r="Z7" i="1"/>
  <c r="X7" i="1"/>
  <c r="V7" i="1"/>
  <c r="T7" i="1"/>
  <c r="R7" i="1"/>
  <c r="P7" i="1"/>
  <c r="N7" i="1"/>
  <c r="L7" i="1"/>
  <c r="J7" i="1"/>
  <c r="H7" i="1"/>
  <c r="F7" i="1"/>
  <c r="D7" i="1"/>
  <c r="B7" i="1"/>
  <c r="AN6" i="1"/>
  <c r="AL6" i="1"/>
  <c r="AJ6" i="1"/>
  <c r="AH6" i="1"/>
  <c r="AF6" i="1"/>
  <c r="AD6" i="1"/>
  <c r="AB6" i="1"/>
  <c r="Z6" i="1"/>
  <c r="X6" i="1"/>
  <c r="V6" i="1"/>
  <c r="T6" i="1"/>
  <c r="R6" i="1"/>
  <c r="P6" i="1"/>
  <c r="N6" i="1"/>
  <c r="L6" i="1"/>
  <c r="J6" i="1"/>
  <c r="H6" i="1"/>
  <c r="F6" i="1"/>
  <c r="D6" i="1"/>
  <c r="B6" i="1"/>
  <c r="AN5" i="1"/>
  <c r="AL5" i="1"/>
  <c r="AJ5" i="1"/>
  <c r="AH5" i="1"/>
  <c r="AF5" i="1"/>
  <c r="AD5" i="1"/>
  <c r="AB5" i="1"/>
  <c r="Z5" i="1"/>
  <c r="X5" i="1"/>
  <c r="V5" i="1"/>
  <c r="T5" i="1"/>
  <c r="R5" i="1"/>
  <c r="P5" i="1"/>
  <c r="N5" i="1"/>
  <c r="L5" i="1"/>
  <c r="J5" i="1"/>
  <c r="H5" i="1"/>
  <c r="F5" i="1"/>
  <c r="D5" i="1"/>
  <c r="B5" i="1"/>
  <c r="AN4" i="1"/>
  <c r="AL4" i="1"/>
  <c r="AJ4" i="1"/>
  <c r="AH4" i="1"/>
  <c r="AF4" i="1"/>
  <c r="AD4" i="1"/>
  <c r="AB4" i="1"/>
  <c r="Z4" i="1"/>
  <c r="X4" i="1"/>
  <c r="V4" i="1"/>
  <c r="T4" i="1"/>
  <c r="R4" i="1"/>
  <c r="P4" i="1"/>
  <c r="N4" i="1"/>
  <c r="L4" i="1"/>
  <c r="J4" i="1"/>
  <c r="H4" i="1"/>
  <c r="F4" i="1"/>
  <c r="D4" i="1"/>
  <c r="B4" i="1"/>
  <c r="AN3" i="1"/>
  <c r="AL3" i="1"/>
  <c r="AL12" i="1" s="1"/>
  <c r="AJ3" i="1"/>
  <c r="AJ12" i="1" s="1"/>
  <c r="AH3" i="1"/>
  <c r="AH12" i="1" s="1"/>
  <c r="AF3" i="1"/>
  <c r="AD3" i="1"/>
  <c r="AB3" i="1"/>
  <c r="Z3" i="1"/>
  <c r="X3" i="1"/>
  <c r="V3" i="1"/>
  <c r="V12" i="1" s="1"/>
  <c r="T3" i="1"/>
  <c r="T12" i="1" s="1"/>
  <c r="R3" i="1"/>
  <c r="R12" i="1" s="1"/>
  <c r="P3" i="1"/>
  <c r="N3" i="1"/>
  <c r="L3" i="1"/>
  <c r="J3" i="1"/>
  <c r="H3" i="1"/>
  <c r="F3" i="1"/>
  <c r="F12" i="1" s="1"/>
  <c r="D3" i="1"/>
  <c r="D12" i="1" s="1"/>
  <c r="E31" i="1" s="1"/>
  <c r="B3" i="1"/>
  <c r="B12" i="1" s="1"/>
  <c r="E17" i="1" s="1"/>
  <c r="AN2" i="1"/>
  <c r="AN12" i="1" s="1"/>
  <c r="AL2" i="1"/>
  <c r="AJ2" i="1"/>
  <c r="AH2" i="1"/>
  <c r="AF2" i="1"/>
  <c r="AF12" i="1" s="1"/>
  <c r="AD2" i="1"/>
  <c r="AD12" i="1" s="1"/>
  <c r="AB2" i="1"/>
  <c r="AB12" i="1" s="1"/>
  <c r="E19" i="1" s="1"/>
  <c r="Z2" i="1"/>
  <c r="Z12" i="1" s="1"/>
  <c r="X2" i="1"/>
  <c r="X12" i="1" s="1"/>
  <c r="V2" i="1"/>
  <c r="T2" i="1"/>
  <c r="R2" i="1"/>
  <c r="P2" i="1"/>
  <c r="P12" i="1" s="1"/>
  <c r="N2" i="1"/>
  <c r="N12" i="1" s="1"/>
  <c r="L2" i="1"/>
  <c r="L12" i="1" s="1"/>
  <c r="J2" i="1"/>
  <c r="J12" i="1" s="1"/>
  <c r="H2" i="1"/>
  <c r="H12" i="1" s="1"/>
  <c r="F2" i="1"/>
  <c r="D2" i="1"/>
  <c r="B2" i="1"/>
  <c r="E33" i="1" l="1"/>
  <c r="E25" i="1"/>
  <c r="E20" i="1"/>
  <c r="E21" i="1"/>
  <c r="E22" i="1"/>
  <c r="E15" i="1"/>
  <c r="E23" i="1"/>
  <c r="E29" i="1"/>
  <c r="E34" i="1"/>
  <c r="E16" i="1"/>
  <c r="E24" i="1"/>
  <c r="E30" i="1"/>
  <c r="E27" i="1"/>
  <c r="E18" i="1"/>
  <c r="E26" i="1"/>
  <c r="E32" i="1"/>
  <c r="E28" i="1"/>
</calcChain>
</file>

<file path=xl/sharedStrings.xml><?xml version="1.0" encoding="utf-8"?>
<sst xmlns="http://schemas.openxmlformats.org/spreadsheetml/2006/main" count="380" uniqueCount="174">
  <si>
    <t>Jayde</t>
  </si>
  <si>
    <t>Score</t>
  </si>
  <si>
    <t>Alex</t>
  </si>
  <si>
    <t>Score3</t>
  </si>
  <si>
    <t>Hunter</t>
  </si>
  <si>
    <t>Score4</t>
  </si>
  <si>
    <t>Zach</t>
  </si>
  <si>
    <t>Score5</t>
  </si>
  <si>
    <t>Jack Munro</t>
  </si>
  <si>
    <t>Score7</t>
  </si>
  <si>
    <t>Nolan</t>
  </si>
  <si>
    <t>Score8</t>
  </si>
  <si>
    <t>Jack King</t>
  </si>
  <si>
    <t>Score9</t>
  </si>
  <si>
    <t>Colin</t>
  </si>
  <si>
    <t>Score10</t>
  </si>
  <si>
    <t>Cam</t>
  </si>
  <si>
    <t>Score11</t>
  </si>
  <si>
    <t>Dex</t>
  </si>
  <si>
    <t>Score12</t>
  </si>
  <si>
    <t>Dan</t>
  </si>
  <si>
    <t>Score13</t>
  </si>
  <si>
    <t>Dylan</t>
  </si>
  <si>
    <t>Score14</t>
  </si>
  <si>
    <t>Ryan</t>
  </si>
  <si>
    <t>Score18</t>
  </si>
  <si>
    <t>Marshall</t>
  </si>
  <si>
    <t>Score19</t>
  </si>
  <si>
    <t>Gabe</t>
  </si>
  <si>
    <t>Score21</t>
  </si>
  <si>
    <t>Curtis</t>
  </si>
  <si>
    <t>Score22</t>
  </si>
  <si>
    <t>Nolan Irv</t>
  </si>
  <si>
    <t>Score23</t>
  </si>
  <si>
    <t>Caleb</t>
  </si>
  <si>
    <t>Score24</t>
  </si>
  <si>
    <t>Big Daddy Trav</t>
  </si>
  <si>
    <t>Score25</t>
  </si>
  <si>
    <t>Ramen Noodles</t>
  </si>
  <si>
    <t>Score26</t>
  </si>
  <si>
    <t>Scottie Scheffler</t>
  </si>
  <si>
    <t>Rory Mcilroy</t>
  </si>
  <si>
    <t>Collin Morikawa</t>
  </si>
  <si>
    <t>Byson Dechambeau</t>
  </si>
  <si>
    <t>Ludvig Aberg</t>
  </si>
  <si>
    <t>Jon Rahm</t>
  </si>
  <si>
    <t>Xander Shauffele</t>
  </si>
  <si>
    <t>Patrick Cantlay</t>
  </si>
  <si>
    <t>Joaquin Niemann</t>
  </si>
  <si>
    <t>Brooks Koepka</t>
  </si>
  <si>
    <t>Shane Lowry</t>
  </si>
  <si>
    <t>Tommy Fleetwood</t>
  </si>
  <si>
    <t>Viktor Hovland</t>
  </si>
  <si>
    <t>Jordan Speith</t>
  </si>
  <si>
    <t>Min Woo Lee</t>
  </si>
  <si>
    <t>Will Zalatoris</t>
  </si>
  <si>
    <t>Robert Macintyre</t>
  </si>
  <si>
    <t>Cameron Smith</t>
  </si>
  <si>
    <t>Ashkay Bhatia</t>
  </si>
  <si>
    <t>Russel Henley</t>
  </si>
  <si>
    <t>Corey Connors</t>
  </si>
  <si>
    <t>Patrick Reed</t>
  </si>
  <si>
    <t xml:space="preserve">Brian Harman </t>
  </si>
  <si>
    <t>Sergio Garcia</t>
  </si>
  <si>
    <t>Sepp Straka</t>
  </si>
  <si>
    <t>Sahith Theegala</t>
  </si>
  <si>
    <t xml:space="preserve">Dustin Johnson </t>
  </si>
  <si>
    <t xml:space="preserve">Tom Kim </t>
  </si>
  <si>
    <t>Jason Day</t>
  </si>
  <si>
    <t xml:space="preserve">Billy Horschel </t>
  </si>
  <si>
    <t>Cameron Young</t>
  </si>
  <si>
    <t>JJ Spaun</t>
  </si>
  <si>
    <t>Adam Scott</t>
  </si>
  <si>
    <t>Daniel Berger</t>
  </si>
  <si>
    <t>Keegan Bradley</t>
  </si>
  <si>
    <t>Michael Kim</t>
  </si>
  <si>
    <t>Phil Mickelson</t>
  </si>
  <si>
    <t>Sam Burns</t>
  </si>
  <si>
    <t xml:space="preserve">Aaron Rai </t>
  </si>
  <si>
    <t xml:space="preserve">JT Potson </t>
  </si>
  <si>
    <t>Cameron Davis</t>
  </si>
  <si>
    <t>Lucas Glover</t>
  </si>
  <si>
    <t>Tom Hoge</t>
  </si>
  <si>
    <t>Denny Mccarthy</t>
  </si>
  <si>
    <t xml:space="preserve">Harris English </t>
  </si>
  <si>
    <t>Christiaan Bezuidenhout</t>
  </si>
  <si>
    <t>Nick Taylor</t>
  </si>
  <si>
    <t xml:space="preserve">Charl Schwartzel </t>
  </si>
  <si>
    <t>Austin Eckroat</t>
  </si>
  <si>
    <t xml:space="preserve">Bubba Watson </t>
  </si>
  <si>
    <t>Matthieu Pavon</t>
  </si>
  <si>
    <t>Danny Willett</t>
  </si>
  <si>
    <t>Joe Highsmith</t>
  </si>
  <si>
    <t>Stephen Jaegar</t>
  </si>
  <si>
    <t>Angel Cabrera</t>
  </si>
  <si>
    <t>Golfers</t>
  </si>
  <si>
    <t>Player</t>
  </si>
  <si>
    <t xml:space="preserve">Prize Money Breakdown </t>
  </si>
  <si>
    <t>xx</t>
  </si>
  <si>
    <t xml:space="preserve">j </t>
  </si>
  <si>
    <t>Tier 1</t>
  </si>
  <si>
    <t>Bryson Dechambeau</t>
  </si>
  <si>
    <t>Tier 2</t>
  </si>
  <si>
    <t xml:space="preserve">Ludvig Aberg </t>
  </si>
  <si>
    <t>Xander Schauffele</t>
  </si>
  <si>
    <t>Matt Fitzpatrick</t>
  </si>
  <si>
    <t>Justin Rose</t>
  </si>
  <si>
    <t>Collin Morikowa</t>
  </si>
  <si>
    <t>Tier 3</t>
  </si>
  <si>
    <t>Hideki Matsuyama</t>
  </si>
  <si>
    <t xml:space="preserve">Jordan Speith </t>
  </si>
  <si>
    <t>Chris Gotterup</t>
  </si>
  <si>
    <t>Akshay Bhatia</t>
  </si>
  <si>
    <t>Tier 4</t>
  </si>
  <si>
    <t xml:space="preserve">Jake Knapp </t>
  </si>
  <si>
    <t xml:space="preserve">Russell Henley </t>
  </si>
  <si>
    <t xml:space="preserve">Shane Lowry </t>
  </si>
  <si>
    <t>Justin Thomas</t>
  </si>
  <si>
    <t xml:space="preserve">Patrick Cantlay </t>
  </si>
  <si>
    <t xml:space="preserve">Si Woo Kim </t>
  </si>
  <si>
    <t xml:space="preserve">Jason Day </t>
  </si>
  <si>
    <t xml:space="preserve">JJ Spaun </t>
  </si>
  <si>
    <t>Marco Penge</t>
  </si>
  <si>
    <t>Nicolai Hojgaard</t>
  </si>
  <si>
    <t>Tier 5</t>
  </si>
  <si>
    <t>Tyrell Hatton</t>
  </si>
  <si>
    <t xml:space="preserve">Jacob Bridgeman </t>
  </si>
  <si>
    <t>Tier 6</t>
  </si>
  <si>
    <t xml:space="preserve">Cam Smith </t>
  </si>
  <si>
    <t>Gary Woodland</t>
  </si>
  <si>
    <t>Maverick Mcnealy</t>
  </si>
  <si>
    <t xml:space="preserve">Sungjae Im </t>
  </si>
  <si>
    <t>Max Homa</t>
  </si>
  <si>
    <t xml:space="preserve">Tier7 </t>
  </si>
  <si>
    <t xml:space="preserve">Ben Griffin </t>
  </si>
  <si>
    <t xml:space="preserve">Alex Noren </t>
  </si>
  <si>
    <t>Casey Jarvis</t>
  </si>
  <si>
    <t>Rasmus Hojgaard</t>
  </si>
  <si>
    <t>Ryan Fox</t>
  </si>
  <si>
    <t>Kurt Kitayama</t>
  </si>
  <si>
    <t>Ryan Gerard</t>
  </si>
  <si>
    <t xml:space="preserve">Wyndham Clark </t>
  </si>
  <si>
    <t xml:space="preserve">Tier 8 </t>
  </si>
  <si>
    <t>Dustin Johnson</t>
  </si>
  <si>
    <t xml:space="preserve">Michael Kim </t>
  </si>
  <si>
    <t xml:space="preserve">Kristoffer Reitan </t>
  </si>
  <si>
    <t xml:space="preserve">Max Greyserman </t>
  </si>
  <si>
    <t>Aldrich Potgieter</t>
  </si>
  <si>
    <t xml:space="preserve">Andrew Novak </t>
  </si>
  <si>
    <t>Carlos Ortiz</t>
  </si>
  <si>
    <t xml:space="preserve">Haotong Li </t>
  </si>
  <si>
    <t>Matt McCarty</t>
  </si>
  <si>
    <t>Nicolas Echavarria</t>
  </si>
  <si>
    <t>Tom Mckibbin</t>
  </si>
  <si>
    <t>Johnny Keefer</t>
  </si>
  <si>
    <t>Rasmus Neergaard</t>
  </si>
  <si>
    <t xml:space="preserve">Sami Valimaki </t>
  </si>
  <si>
    <t xml:space="preserve">Michael Brennan </t>
  </si>
  <si>
    <t xml:space="preserve">Zach Johnson </t>
  </si>
  <si>
    <t xml:space="preserve">Davis Riley </t>
  </si>
  <si>
    <t>Brian Campbell</t>
  </si>
  <si>
    <t xml:space="preserve">Mason Howell </t>
  </si>
  <si>
    <t>Noayuki Kataoka</t>
  </si>
  <si>
    <t>Ethan Fang</t>
  </si>
  <si>
    <t>Fifa Laopakdee</t>
  </si>
  <si>
    <t>Brandon Holtz</t>
  </si>
  <si>
    <t>Jacksin Herrington</t>
  </si>
  <si>
    <t>Vijay Singh</t>
  </si>
  <si>
    <t>Fred Couples</t>
  </si>
  <si>
    <t xml:space="preserve">Jose Maria Olazabal </t>
  </si>
  <si>
    <t>Mateo Pulcini</t>
  </si>
  <si>
    <t>Mike Weir</t>
  </si>
  <si>
    <t>Harry Hall</t>
  </si>
  <si>
    <t>Sam Stevens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</si>
</sst>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836C8014047A77/Masters%20Pool%202025.xlsx" TargetMode="External"/><Relationship Id="rId1" Type="http://schemas.openxmlformats.org/officeDocument/2006/relationships/externalLinkPath" Target="https://d.docs.live.net/94836C8014047A77/Masters%20Poo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RS"/>
      <sheetName val="Day 1 "/>
      <sheetName val="Day 2"/>
      <sheetName val="Day 3"/>
      <sheetName val="Day 4"/>
    </sheetNames>
    <sheetDataSet>
      <sheetData sheetId="0" refreshError="1"/>
      <sheetData sheetId="1" refreshError="1"/>
      <sheetData sheetId="2">
        <row r="25">
          <cell r="B25">
            <v>5</v>
          </cell>
        </row>
        <row r="29">
          <cell r="B29">
            <v>8</v>
          </cell>
        </row>
        <row r="31">
          <cell r="B31">
            <v>5</v>
          </cell>
        </row>
        <row r="32">
          <cell r="B32">
            <v>3</v>
          </cell>
        </row>
        <row r="33">
          <cell r="B33">
            <v>6</v>
          </cell>
        </row>
        <row r="36">
          <cell r="B36">
            <v>5</v>
          </cell>
        </row>
        <row r="37">
          <cell r="B37">
            <v>3</v>
          </cell>
        </row>
        <row r="40">
          <cell r="B40">
            <v>4</v>
          </cell>
        </row>
        <row r="44">
          <cell r="B44">
            <v>3</v>
          </cell>
        </row>
        <row r="45">
          <cell r="B45">
            <v>5</v>
          </cell>
        </row>
        <row r="46">
          <cell r="B46">
            <v>7</v>
          </cell>
        </row>
        <row r="47">
          <cell r="B47">
            <v>5</v>
          </cell>
        </row>
        <row r="51">
          <cell r="B51">
            <v>5</v>
          </cell>
        </row>
        <row r="55">
          <cell r="B55">
            <v>7</v>
          </cell>
        </row>
        <row r="57">
          <cell r="B57">
            <v>9</v>
          </cell>
        </row>
        <row r="58">
          <cell r="B58">
            <v>8</v>
          </cell>
        </row>
        <row r="60">
          <cell r="B60">
            <v>6</v>
          </cell>
        </row>
        <row r="64">
          <cell r="B64">
            <v>4</v>
          </cell>
        </row>
        <row r="65">
          <cell r="B65">
            <v>10</v>
          </cell>
        </row>
        <row r="69">
          <cell r="B69">
            <v>11</v>
          </cell>
        </row>
      </sheetData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B77F9E-ACC9-5D47-83C2-004D435D9BB9}" name="Table3" displayName="Table3" ref="A1:A5" totalsRowShown="0">
  <autoFilter ref="A1:A5" xr:uid="{57B77F9E-ACC9-5D47-83C2-004D435D9BB9}"/>
  <tableColumns count="1">
    <tableColumn id="1" xr3:uid="{19099A09-7AE6-054F-9742-6CF0C854B82C}" name="Tier 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C7B4B9-6E1F-914C-83D9-1C9DC997F203}" name="Table4" displayName="Table4" ref="B1:B7" totalsRowShown="0">
  <autoFilter ref="B1:B7" xr:uid="{85C7B4B9-6E1F-914C-83D9-1C9DC997F203}"/>
  <tableColumns count="1">
    <tableColumn id="1" xr3:uid="{A2F0EFC9-28FF-5045-A7AC-13438788E586}" name="Tier 2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29B5CE-F91B-3746-89B3-824B57016C62}" name="Table5" displayName="Table5" ref="C1:C10" totalsRowShown="0">
  <autoFilter ref="C1:C10" xr:uid="{9329B5CE-F91B-3746-89B3-824B57016C62}"/>
  <tableColumns count="1">
    <tableColumn id="1" xr3:uid="{34E2FA3F-1CCD-9C4E-B2AA-07F341CA068D}" name="Tier 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153BED-6EEB-CF42-8659-A2EFE806E05A}" name="Table6" displayName="Table6" ref="D1:D11" totalsRowShown="0">
  <autoFilter ref="D1:D11" xr:uid="{10153BED-6EEB-CF42-8659-A2EFE806E05A}"/>
  <tableColumns count="1">
    <tableColumn id="1" xr3:uid="{3DDB64EC-EA9A-3F49-BA60-87A3D04346B4}" name="Tier 4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56B1E9-0290-1147-86BF-D87124C4FEB0}" name="Table7" displayName="Table7" ref="E1:E9" totalsRowShown="0">
  <autoFilter ref="E1:E9" xr:uid="{F956B1E9-0290-1147-86BF-D87124C4FEB0}"/>
  <tableColumns count="1">
    <tableColumn id="1" xr3:uid="{09049A17-F4B0-6640-98E9-FA51ED7A9CA1}" name="Tier 5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C16379-D5B5-B549-8293-F482811C2121}" name="Table8" displayName="Table8" ref="F1:F9" totalsRowShown="0">
  <autoFilter ref="F1:F9" xr:uid="{23C16379-D5B5-B549-8293-F482811C2121}"/>
  <tableColumns count="1">
    <tableColumn id="1" xr3:uid="{CEFEB8B6-16A0-7E4E-8287-E32D779344E2}" name="Tier 6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D4CC45-03A9-5D4F-BF2A-8C36E0E3EFD5}" name="Table9" displayName="Table9" ref="G1:G15" totalsRowShown="0">
  <autoFilter ref="G1:G15" xr:uid="{1DD4CC45-03A9-5D4F-BF2A-8C36E0E3EFD5}"/>
  <tableColumns count="1">
    <tableColumn id="1" xr3:uid="{0711BD06-C4F5-7440-8A3C-E1555C42E5BD}" name="Tier7 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6D2545-8696-0649-B98B-22FA20B3B17B}" name="Table10" displayName="Table10" ref="H1:H33" totalsRowShown="0">
  <autoFilter ref="H1:H33" xr:uid="{C76D2545-8696-0649-B98B-22FA20B3B17B}"/>
  <tableColumns count="1">
    <tableColumn id="1" xr3:uid="{363DAF79-C16C-2741-A429-68EAB8A1A499}" name="Tier 8 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CE89D-D301-0E42-B61E-2BE55F8F4B43}" name="Table216121620" displayName="Table216121620" ref="A1:AN12" totalsRowShown="0">
  <autoFilter ref="A1:AN12" xr:uid="{6D3CE89D-D301-0E42-B61E-2BE55F8F4B43}"/>
  <tableColumns count="40">
    <tableColumn id="1" xr3:uid="{10934A50-1E22-DD44-94B3-1919F54ADF59}" name="Jayde"/>
    <tableColumn id="2" xr3:uid="{ADC3218F-4728-D049-9737-475A67422C7A}" name="Score"/>
    <tableColumn id="5" xr3:uid="{7836705C-EF8D-9E4E-A57B-E40532CE40E6}" name="Alex"/>
    <tableColumn id="6" xr3:uid="{F75A2D7C-482A-6B40-95B5-64065314058A}" name="Score3"/>
    <tableColumn id="7" xr3:uid="{B303C749-C8D2-7548-85C8-9D77C550E5C3}" name="Hunter"/>
    <tableColumn id="8" xr3:uid="{BCFE0F43-2975-774B-8915-54299EF4A2F6}" name="Score4"/>
    <tableColumn id="9" xr3:uid="{6CC3C95A-A23B-6549-834E-946AECC1B8B3}" name="Zach"/>
    <tableColumn id="10" xr3:uid="{9014D5F8-52F8-0548-890F-3B6A7549126A}" name="Score5"/>
    <tableColumn id="13" xr3:uid="{4E4EBB2F-3DF9-0B45-81F2-A7DBB5650A3E}" name="Jack Munro"/>
    <tableColumn id="14" xr3:uid="{ED67ED02-590A-B74A-B401-BDCF36520BDE}" name="Score7"/>
    <tableColumn id="15" xr3:uid="{BDFE10FB-2D04-7E41-9763-4786092E3248}" name="Nolan"/>
    <tableColumn id="16" xr3:uid="{641AFFF9-AEEE-B645-A5D7-C33F517C769B}" name="Score8"/>
    <tableColumn id="17" xr3:uid="{9619812F-A2C6-2040-ADDA-1000456C52D7}" name="Jack King"/>
    <tableColumn id="18" xr3:uid="{C481FEC0-0F68-5340-ADD3-78FCF3E70530}" name="Score9"/>
    <tableColumn id="19" xr3:uid="{F5BCD282-F146-7B47-9C45-7BAA3703C584}" name="Colin"/>
    <tableColumn id="20" xr3:uid="{A396A029-0044-AB45-A48E-4084C88446C6}" name="Score10"/>
    <tableColumn id="21" xr3:uid="{93353326-3DC6-BE48-A2FA-3C37D17354B0}" name="Cam"/>
    <tableColumn id="22" xr3:uid="{3AE95490-58B6-B14F-A40E-3142A0B12A98}" name="Score11"/>
    <tableColumn id="23" xr3:uid="{A0E94427-3D92-004F-8FBC-7D4853BA1B83}" name="Dex"/>
    <tableColumn id="24" xr3:uid="{8CDC52E5-430F-304D-9056-C45493D72592}" name="Score12"/>
    <tableColumn id="25" xr3:uid="{D0C92DA4-B600-3B44-BA23-3DD349BAAD81}" name="Dan"/>
    <tableColumn id="26" xr3:uid="{19DE87EB-F9D4-864D-9B17-60DE47BBB5A9}" name="Score13"/>
    <tableColumn id="27" xr3:uid="{B52E8609-679A-3B46-9037-9464BB0E40C8}" name="Dylan"/>
    <tableColumn id="28" xr3:uid="{2B2E663D-5D64-B645-8187-4A7DDE1BE05A}" name="Score14"/>
    <tableColumn id="33" xr3:uid="{6AB32EA0-FFC8-FC45-8676-F0245B9F2708}" name="Ryan"/>
    <tableColumn id="34" xr3:uid="{8D1B825F-0511-4448-816C-E3DA343A4442}" name="Score18"/>
    <tableColumn id="35" xr3:uid="{68444402-AF39-A64D-94EF-B75EB1868B0F}" name="Marshall"/>
    <tableColumn id="36" xr3:uid="{2378B1DF-7E25-F94D-A53E-CF10E01917F1}" name="Score19"/>
    <tableColumn id="39" xr3:uid="{B94E4968-ACD4-F14B-9986-7A74797277C1}" name="Gabe"/>
    <tableColumn id="40" xr3:uid="{8131C7C9-F3F5-F447-B7BD-D67EC31F02E1}" name="Score21"/>
    <tableColumn id="41" xr3:uid="{A7B691EF-68E2-5847-AF34-CED15417538F}" name="Curtis"/>
    <tableColumn id="42" xr3:uid="{B5DF0727-321C-C740-8A76-035BB3C4D014}" name="Score22"/>
    <tableColumn id="43" xr3:uid="{12D7D2F4-A48C-034D-9B95-D74C50BBAF13}" name="Nolan Irv"/>
    <tableColumn id="44" xr3:uid="{4B768AC7-4EF1-A646-A545-E062D8861968}" name="Score23"/>
    <tableColumn id="45" xr3:uid="{E43519F5-D8B3-244E-B45A-0C86C077EEC6}" name="Caleb"/>
    <tableColumn id="46" xr3:uid="{7F1CDC29-B301-0143-B62D-88AF3F600D4C}" name="Score24"/>
    <tableColumn id="47" xr3:uid="{0EB1B070-AEF8-8D49-8428-7C38DE221D53}" name="Big Daddy Trav"/>
    <tableColumn id="48" xr3:uid="{45AC029E-9423-A741-9B64-7A2F31FC2918}" name="Score25"/>
    <tableColumn id="49" xr3:uid="{BB18FFA7-CAAD-7646-83F9-AC8DEA171C4D}" name="Ramen Noodles"/>
    <tableColumn id="50" xr3:uid="{9E7F01C2-BC7C-F04E-9336-1E53AF40112E}" name="Score2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B1F5AB-A1D1-DB4D-9E46-AE258963AFCE}" name="Table817131721" displayName="Table817131721" ref="D14:E34" totalsRowShown="0">
  <autoFilter ref="D14:E34" xr:uid="{02B1F5AB-A1D1-DB4D-9E46-AE258963AFCE}"/>
  <sortState xmlns:xlrd2="http://schemas.microsoft.com/office/spreadsheetml/2017/richdata2" ref="D15:E34">
    <sortCondition ref="E14:E34"/>
  </sortState>
  <tableColumns count="2">
    <tableColumn id="1" xr3:uid="{8B3A8E5B-A31C-CE43-BE31-7321EFA67662}" name="Player"/>
    <tableColumn id="2" xr3:uid="{8102D155-CAC5-8E4E-B992-9151086AB80B}" name="Score">
      <calculatedColumnFormula>_xlfn.XLOOKUP(D15,$B$11:$AN$11,$B$12:$AN$12)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DF61-8157-4D4D-8451-99FED95B449F}">
  <dimension ref="A1:H33"/>
  <sheetViews>
    <sheetView tabSelected="1" workbookViewId="0">
      <selection activeCell="E17" sqref="E17"/>
    </sheetView>
  </sheetViews>
  <sheetFormatPr baseColWidth="10" defaultRowHeight="16" x14ac:dyDescent="0.2"/>
  <cols>
    <col min="1" max="1" width="18" bestFit="1" customWidth="1"/>
    <col min="2" max="2" width="15.6640625" bestFit="1" customWidth="1"/>
    <col min="3" max="3" width="16" bestFit="1" customWidth="1"/>
    <col min="4" max="4" width="13.83203125" bestFit="1" customWidth="1"/>
    <col min="5" max="5" width="15.1640625" bestFit="1" customWidth="1"/>
    <col min="6" max="6" width="15.6640625" bestFit="1" customWidth="1"/>
    <col min="7" max="7" width="15.1640625" bestFit="1" customWidth="1"/>
    <col min="8" max="8" width="17.6640625" bestFit="1" customWidth="1"/>
  </cols>
  <sheetData>
    <row r="1" spans="1:8" x14ac:dyDescent="0.2">
      <c r="A1" t="s">
        <v>100</v>
      </c>
      <c r="B1" t="s">
        <v>102</v>
      </c>
      <c r="C1" t="s">
        <v>108</v>
      </c>
      <c r="D1" t="s">
        <v>113</v>
      </c>
      <c r="E1" t="s">
        <v>124</v>
      </c>
      <c r="F1" t="s">
        <v>127</v>
      </c>
      <c r="G1" t="s">
        <v>133</v>
      </c>
      <c r="H1" t="s">
        <v>142</v>
      </c>
    </row>
    <row r="2" spans="1:8" x14ac:dyDescent="0.2">
      <c r="A2" t="s">
        <v>40</v>
      </c>
      <c r="B2" t="s">
        <v>103</v>
      </c>
      <c r="C2" t="s">
        <v>61</v>
      </c>
      <c r="D2" t="s">
        <v>114</v>
      </c>
      <c r="E2" t="s">
        <v>120</v>
      </c>
      <c r="F2" t="s">
        <v>128</v>
      </c>
      <c r="G2" t="s">
        <v>78</v>
      </c>
      <c r="H2" t="s">
        <v>145</v>
      </c>
    </row>
    <row r="3" spans="1:8" x14ac:dyDescent="0.2">
      <c r="A3" t="s">
        <v>101</v>
      </c>
      <c r="B3" t="s">
        <v>104</v>
      </c>
      <c r="C3" t="s">
        <v>109</v>
      </c>
      <c r="D3" t="s">
        <v>115</v>
      </c>
      <c r="E3" t="s">
        <v>122</v>
      </c>
      <c r="F3" t="s">
        <v>129</v>
      </c>
      <c r="G3" t="s">
        <v>135</v>
      </c>
      <c r="H3" t="s">
        <v>146</v>
      </c>
    </row>
    <row r="4" spans="1:8" x14ac:dyDescent="0.2">
      <c r="A4" t="s">
        <v>45</v>
      </c>
      <c r="B4" t="s">
        <v>70</v>
      </c>
      <c r="C4" t="s">
        <v>54</v>
      </c>
      <c r="D4" t="s">
        <v>116</v>
      </c>
      <c r="E4" t="s">
        <v>123</v>
      </c>
      <c r="F4" t="s">
        <v>131</v>
      </c>
      <c r="G4" t="s">
        <v>136</v>
      </c>
      <c r="H4" t="s">
        <v>147</v>
      </c>
    </row>
    <row r="5" spans="1:8" x14ac:dyDescent="0.2">
      <c r="A5" t="s">
        <v>41</v>
      </c>
      <c r="B5" t="s">
        <v>105</v>
      </c>
      <c r="C5" t="s">
        <v>49</v>
      </c>
      <c r="D5" t="s">
        <v>117</v>
      </c>
      <c r="E5" t="s">
        <v>125</v>
      </c>
      <c r="F5" t="s">
        <v>84</v>
      </c>
      <c r="G5" t="s">
        <v>137</v>
      </c>
      <c r="H5" t="s">
        <v>148</v>
      </c>
    </row>
    <row r="6" spans="1:8" x14ac:dyDescent="0.2">
      <c r="B6" t="s">
        <v>51</v>
      </c>
      <c r="C6" t="s">
        <v>110</v>
      </c>
      <c r="D6" t="s">
        <v>118</v>
      </c>
      <c r="E6" t="s">
        <v>60</v>
      </c>
      <c r="F6" t="s">
        <v>132</v>
      </c>
      <c r="G6" t="s">
        <v>138</v>
      </c>
      <c r="H6" t="s">
        <v>149</v>
      </c>
    </row>
    <row r="7" spans="1:8" x14ac:dyDescent="0.2">
      <c r="B7" t="s">
        <v>107</v>
      </c>
      <c r="C7" t="s">
        <v>52</v>
      </c>
      <c r="D7" t="s">
        <v>64</v>
      </c>
      <c r="E7" t="s">
        <v>126</v>
      </c>
      <c r="F7" t="s">
        <v>73</v>
      </c>
      <c r="G7" t="s">
        <v>139</v>
      </c>
      <c r="H7" t="s">
        <v>150</v>
      </c>
    </row>
    <row r="8" spans="1:8" x14ac:dyDescent="0.2">
      <c r="C8" t="s">
        <v>111</v>
      </c>
      <c r="D8" t="s">
        <v>119</v>
      </c>
      <c r="E8" t="s">
        <v>77</v>
      </c>
      <c r="F8" t="s">
        <v>134</v>
      </c>
      <c r="G8" t="s">
        <v>140</v>
      </c>
      <c r="H8" t="s">
        <v>151</v>
      </c>
    </row>
    <row r="9" spans="1:8" x14ac:dyDescent="0.2">
      <c r="C9" t="s">
        <v>106</v>
      </c>
      <c r="D9" t="s">
        <v>72</v>
      </c>
      <c r="E9" t="s">
        <v>130</v>
      </c>
      <c r="F9" t="s">
        <v>62</v>
      </c>
      <c r="G9" t="s">
        <v>141</v>
      </c>
      <c r="H9" t="s">
        <v>152</v>
      </c>
    </row>
    <row r="10" spans="1:8" x14ac:dyDescent="0.2">
      <c r="C10" t="s">
        <v>56</v>
      </c>
      <c r="D10" t="s">
        <v>112</v>
      </c>
      <c r="G10" t="s">
        <v>74</v>
      </c>
      <c r="H10" t="s">
        <v>153</v>
      </c>
    </row>
    <row r="11" spans="1:8" x14ac:dyDescent="0.2">
      <c r="D11" t="s">
        <v>121</v>
      </c>
      <c r="G11" t="s">
        <v>143</v>
      </c>
      <c r="H11" t="s">
        <v>154</v>
      </c>
    </row>
    <row r="12" spans="1:8" x14ac:dyDescent="0.2">
      <c r="G12" t="s">
        <v>63</v>
      </c>
      <c r="H12" t="s">
        <v>155</v>
      </c>
    </row>
    <row r="13" spans="1:8" x14ac:dyDescent="0.2">
      <c r="G13" t="s">
        <v>144</v>
      </c>
      <c r="H13" t="s">
        <v>156</v>
      </c>
    </row>
    <row r="14" spans="1:8" x14ac:dyDescent="0.2">
      <c r="G14" t="s">
        <v>86</v>
      </c>
      <c r="H14" t="s">
        <v>89</v>
      </c>
    </row>
    <row r="15" spans="1:8" x14ac:dyDescent="0.2">
      <c r="G15" t="s">
        <v>172</v>
      </c>
      <c r="H15" t="s">
        <v>157</v>
      </c>
    </row>
    <row r="16" spans="1:8" x14ac:dyDescent="0.2">
      <c r="H16" t="s">
        <v>158</v>
      </c>
    </row>
    <row r="17" spans="8:8" x14ac:dyDescent="0.2">
      <c r="H17" t="s">
        <v>87</v>
      </c>
    </row>
    <row r="18" spans="8:8" x14ac:dyDescent="0.2">
      <c r="H18" t="s">
        <v>159</v>
      </c>
    </row>
    <row r="19" spans="8:8" x14ac:dyDescent="0.2">
      <c r="H19" t="s">
        <v>91</v>
      </c>
    </row>
    <row r="20" spans="8:8" x14ac:dyDescent="0.2">
      <c r="H20" t="s">
        <v>160</v>
      </c>
    </row>
    <row r="21" spans="8:8" x14ac:dyDescent="0.2">
      <c r="H21" t="s">
        <v>161</v>
      </c>
    </row>
    <row r="22" spans="8:8" x14ac:dyDescent="0.2">
      <c r="H22" t="s">
        <v>162</v>
      </c>
    </row>
    <row r="23" spans="8:8" x14ac:dyDescent="0.2">
      <c r="H23" t="s">
        <v>94</v>
      </c>
    </row>
    <row r="24" spans="8:8" x14ac:dyDescent="0.2">
      <c r="H24" t="s">
        <v>163</v>
      </c>
    </row>
    <row r="25" spans="8:8" x14ac:dyDescent="0.2">
      <c r="H25" t="s">
        <v>164</v>
      </c>
    </row>
    <row r="26" spans="8:8" x14ac:dyDescent="0.2">
      <c r="H26" t="s">
        <v>165</v>
      </c>
    </row>
    <row r="27" spans="8:8" x14ac:dyDescent="0.2">
      <c r="H27" t="s">
        <v>166</v>
      </c>
    </row>
    <row r="28" spans="8:8" x14ac:dyDescent="0.2">
      <c r="H28" t="s">
        <v>167</v>
      </c>
    </row>
    <row r="29" spans="8:8" x14ac:dyDescent="0.2">
      <c r="H29" t="s">
        <v>168</v>
      </c>
    </row>
    <row r="30" spans="8:8" x14ac:dyDescent="0.2">
      <c r="H30" t="s">
        <v>169</v>
      </c>
    </row>
    <row r="31" spans="8:8" x14ac:dyDescent="0.2">
      <c r="H31" t="s">
        <v>170</v>
      </c>
    </row>
    <row r="32" spans="8:8" x14ac:dyDescent="0.2">
      <c r="H32" t="s">
        <v>171</v>
      </c>
    </row>
    <row r="33" spans="8:8" x14ac:dyDescent="0.2">
      <c r="H33" t="s">
        <v>173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434C-38A1-B243-AC14-5539118CF913}">
  <dimension ref="A1:AN69"/>
  <sheetViews>
    <sheetView workbookViewId="0">
      <selection activeCell="D18" sqref="D18"/>
    </sheetView>
  </sheetViews>
  <sheetFormatPr baseColWidth="10" defaultColWidth="11" defaultRowHeight="16" x14ac:dyDescent="0.2"/>
  <cols>
    <col min="1" max="1" width="21.5" bestFit="1" customWidth="1"/>
    <col min="3" max="3" width="14" customWidth="1"/>
    <col min="4" max="4" width="14" bestFit="1" customWidth="1"/>
    <col min="5" max="5" width="14.6640625" bestFit="1" customWidth="1"/>
    <col min="7" max="7" width="21.6640625" bestFit="1" customWidth="1"/>
    <col min="9" max="9" width="17.33203125" bestFit="1" customWidth="1"/>
    <col min="11" max="11" width="16.5" bestFit="1" customWidth="1"/>
    <col min="13" max="13" width="16.1640625" bestFit="1" customWidth="1"/>
    <col min="14" max="14" width="11.33203125" bestFit="1" customWidth="1"/>
    <col min="15" max="15" width="16.1640625" bestFit="1" customWidth="1"/>
    <col min="17" max="17" width="14.6640625" bestFit="1" customWidth="1"/>
    <col min="19" max="19" width="17.5" bestFit="1" customWidth="1"/>
    <col min="21" max="21" width="21.5" bestFit="1" customWidth="1"/>
    <col min="23" max="23" width="16" bestFit="1" customWidth="1"/>
    <col min="25" max="25" width="16.5" bestFit="1" customWidth="1"/>
    <col min="27" max="27" width="16.5" bestFit="1" customWidth="1"/>
    <col min="29" max="29" width="22.1640625" customWidth="1"/>
    <col min="31" max="31" width="14.33203125" bestFit="1" customWidth="1"/>
    <col min="33" max="33" width="17.5" bestFit="1" customWidth="1"/>
    <col min="35" max="35" width="18" bestFit="1" customWidth="1"/>
    <col min="37" max="37" width="16.1640625" bestFit="1" customWidth="1"/>
    <col min="39" max="39" width="18" bestFit="1" customWidth="1"/>
    <col min="41" max="41" width="17.5" bestFit="1" customWidth="1"/>
    <col min="43" max="43" width="14.6640625" bestFit="1" customWidth="1"/>
    <col min="44" max="44" width="12.83203125" bestFit="1" customWidth="1"/>
    <col min="45" max="45" width="16.5" bestFit="1" customWidth="1"/>
    <col min="46" max="46" width="14.1640625" bestFit="1" customWidth="1"/>
    <col min="47" max="47" width="16.5" bestFit="1" customWidth="1"/>
    <col min="49" max="49" width="16.5" bestFit="1" customWidth="1"/>
    <col min="50" max="50" width="5.6640625" bestFit="1" customWidth="1"/>
    <col min="51" max="51" width="14.1640625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>
        <f t="shared" ref="B2:B9" si="0">_xlfn.XLOOKUP(A2,$A$15:$A$69,$B$15:$B$69)</f>
        <v>-8</v>
      </c>
      <c r="C2" t="s">
        <v>41</v>
      </c>
      <c r="D2">
        <f t="shared" ref="D2:D9" si="1">_xlfn.XLOOKUP(C2,$A$15:$A$69,$B$15:$B$69)</f>
        <v>-11</v>
      </c>
      <c r="E2" t="s">
        <v>40</v>
      </c>
      <c r="F2">
        <f t="shared" ref="F2:F9" si="2">_xlfn.XLOOKUP(E2,$A$15:$A$69,$B$15:$B$69)</f>
        <v>-8</v>
      </c>
      <c r="G2" t="s">
        <v>41</v>
      </c>
      <c r="H2">
        <f t="shared" ref="H2:H9" si="3">_xlfn.XLOOKUP(G2,$A$15:$A$69,$B$15:$B$69)</f>
        <v>-11</v>
      </c>
      <c r="I2" t="s">
        <v>40</v>
      </c>
      <c r="J2">
        <f t="shared" ref="J2:J9" si="4">_xlfn.XLOOKUP(I2,$A$15:$A$69,$B$15:$B$69)</f>
        <v>-8</v>
      </c>
      <c r="K2" t="s">
        <v>41</v>
      </c>
      <c r="L2">
        <f t="shared" ref="L2:L9" si="5">_xlfn.XLOOKUP(K2,$A$15:$A$69,$B$15:$B$69)</f>
        <v>-11</v>
      </c>
      <c r="M2" t="s">
        <v>40</v>
      </c>
      <c r="N2">
        <f t="shared" ref="N2:N9" si="6">_xlfn.XLOOKUP(M2,$A$15:$A$69,$B$15:$B$69)</f>
        <v>-8</v>
      </c>
      <c r="O2" t="s">
        <v>41</v>
      </c>
      <c r="P2">
        <f t="shared" ref="P2:P9" si="7">_xlfn.XLOOKUP(O2,$A$15:$A$69,$B$15:$B$69)</f>
        <v>-11</v>
      </c>
      <c r="Q2" t="s">
        <v>40</v>
      </c>
      <c r="R2">
        <f t="shared" ref="R2:R9" si="8">_xlfn.XLOOKUP(Q2,$A$15:$A$69,$B$15:$B$69)</f>
        <v>-8</v>
      </c>
      <c r="S2" t="s">
        <v>41</v>
      </c>
      <c r="T2">
        <f t="shared" ref="T2:T9" si="9">_xlfn.XLOOKUP(S2,$A$15:$A$69,$B$15:$B$69)</f>
        <v>-11</v>
      </c>
      <c r="U2" t="s">
        <v>40</v>
      </c>
      <c r="V2">
        <f t="shared" ref="V2:V9" si="10">_xlfn.XLOOKUP(U2,$A$15:$A$69,$B$15:$B$69)</f>
        <v>-8</v>
      </c>
      <c r="W2" t="s">
        <v>41</v>
      </c>
      <c r="X2">
        <f t="shared" ref="X2:X9" si="11">_xlfn.XLOOKUP(W2,$A$15:$A$69,$B$15:$B$69)</f>
        <v>-11</v>
      </c>
      <c r="Y2" t="s">
        <v>41</v>
      </c>
      <c r="Z2">
        <f t="shared" ref="Z2:Z9" si="12">_xlfn.XLOOKUP(Y2,$A$15:$A$69,$B$15:$B$69)</f>
        <v>-11</v>
      </c>
      <c r="AA2" t="s">
        <v>40</v>
      </c>
      <c r="AB2">
        <f t="shared" ref="AB2:AB9" si="13">_xlfn.XLOOKUP(AA2,$A$15:$A$69,$B$15:$B$69)</f>
        <v>-8</v>
      </c>
      <c r="AC2" t="s">
        <v>40</v>
      </c>
      <c r="AD2">
        <f t="shared" ref="AD2:AD9" si="14">_xlfn.XLOOKUP(AC2,$A$15:$A$69,$B$15:$B$69)</f>
        <v>-8</v>
      </c>
      <c r="AE2" t="s">
        <v>41</v>
      </c>
      <c r="AF2">
        <f t="shared" ref="AF2:AF9" si="15">_xlfn.XLOOKUP(AE2,$A$15:$A$69,$B$15:$B$69)</f>
        <v>-11</v>
      </c>
      <c r="AG2" t="s">
        <v>40</v>
      </c>
      <c r="AH2">
        <f t="shared" ref="AH2:AH9" si="16">_xlfn.XLOOKUP(AG2,$A$15:$A$69,$B$15:$B$69)</f>
        <v>-8</v>
      </c>
      <c r="AI2" t="s">
        <v>41</v>
      </c>
      <c r="AJ2">
        <f t="shared" ref="AJ2:AJ9" si="17">_xlfn.XLOOKUP(AI2,$A$15:$A$69,$B$15:$B$69)</f>
        <v>-11</v>
      </c>
      <c r="AK2" t="s">
        <v>40</v>
      </c>
      <c r="AL2">
        <f>_xlfn.XLOOKUP(AK2,$A$15:$A$69,$B$15:$B$69)</f>
        <v>-8</v>
      </c>
      <c r="AM2" t="s">
        <v>40</v>
      </c>
      <c r="AN2">
        <f t="shared" ref="AN2:AN9" si="18">_xlfn.XLOOKUP(AM2,$A$15:$A$69,$B$15:$B$69)</f>
        <v>-8</v>
      </c>
    </row>
    <row r="3" spans="1:40" x14ac:dyDescent="0.2">
      <c r="A3" t="s">
        <v>42</v>
      </c>
      <c r="B3">
        <f t="shared" si="0"/>
        <v>-3</v>
      </c>
      <c r="C3" t="s">
        <v>42</v>
      </c>
      <c r="D3">
        <f t="shared" si="1"/>
        <v>-3</v>
      </c>
      <c r="E3" t="s">
        <v>42</v>
      </c>
      <c r="F3">
        <f t="shared" si="2"/>
        <v>-3</v>
      </c>
      <c r="G3" t="s">
        <v>43</v>
      </c>
      <c r="H3">
        <f t="shared" si="3"/>
        <v>-7</v>
      </c>
      <c r="I3" t="s">
        <v>42</v>
      </c>
      <c r="J3">
        <f t="shared" si="4"/>
        <v>-3</v>
      </c>
      <c r="K3" t="s">
        <v>42</v>
      </c>
      <c r="L3">
        <f t="shared" si="5"/>
        <v>-3</v>
      </c>
      <c r="M3" t="s">
        <v>42</v>
      </c>
      <c r="N3">
        <f t="shared" si="6"/>
        <v>-3</v>
      </c>
      <c r="O3" t="s">
        <v>43</v>
      </c>
      <c r="P3">
        <f t="shared" si="7"/>
        <v>-7</v>
      </c>
      <c r="Q3" t="s">
        <v>44</v>
      </c>
      <c r="R3">
        <f t="shared" si="8"/>
        <v>-6</v>
      </c>
      <c r="S3" t="s">
        <v>42</v>
      </c>
      <c r="T3">
        <f t="shared" si="9"/>
        <v>-3</v>
      </c>
      <c r="U3" t="s">
        <v>42</v>
      </c>
      <c r="V3">
        <f t="shared" si="10"/>
        <v>-3</v>
      </c>
      <c r="W3" t="s">
        <v>45</v>
      </c>
      <c r="X3">
        <f t="shared" si="11"/>
        <v>-3</v>
      </c>
      <c r="Y3" t="s">
        <v>42</v>
      </c>
      <c r="Z3">
        <f t="shared" si="12"/>
        <v>-3</v>
      </c>
      <c r="AA3" t="s">
        <v>43</v>
      </c>
      <c r="AB3">
        <f t="shared" si="13"/>
        <v>-7</v>
      </c>
      <c r="AC3" t="s">
        <v>43</v>
      </c>
      <c r="AD3">
        <f t="shared" si="14"/>
        <v>-7</v>
      </c>
      <c r="AE3" t="s">
        <v>43</v>
      </c>
      <c r="AF3">
        <f t="shared" si="15"/>
        <v>-7</v>
      </c>
      <c r="AG3" t="s">
        <v>44</v>
      </c>
      <c r="AH3">
        <f t="shared" si="16"/>
        <v>-6</v>
      </c>
      <c r="AI3" t="s">
        <v>43</v>
      </c>
      <c r="AJ3">
        <f t="shared" si="17"/>
        <v>-7</v>
      </c>
      <c r="AK3" t="s">
        <v>46</v>
      </c>
      <c r="AL3">
        <f t="shared" ref="AL3:AL9" si="19">_xlfn.XLOOKUP(AK3,$A$15:$A$69,$B$15:$B$69)</f>
        <v>-5</v>
      </c>
      <c r="AM3" s="1" t="s">
        <v>42</v>
      </c>
      <c r="AN3">
        <f t="shared" si="18"/>
        <v>-3</v>
      </c>
    </row>
    <row r="4" spans="1:40" x14ac:dyDescent="0.2">
      <c r="A4" t="s">
        <v>47</v>
      </c>
      <c r="B4">
        <f t="shared" si="0"/>
        <v>2</v>
      </c>
      <c r="C4" t="s">
        <v>47</v>
      </c>
      <c r="D4">
        <f t="shared" si="1"/>
        <v>2</v>
      </c>
      <c r="E4" t="s">
        <v>48</v>
      </c>
      <c r="F4">
        <f t="shared" si="2"/>
        <v>0</v>
      </c>
      <c r="G4" t="s">
        <v>49</v>
      </c>
      <c r="H4">
        <f t="shared" si="3"/>
        <v>21</v>
      </c>
      <c r="I4" t="s">
        <v>50</v>
      </c>
      <c r="J4">
        <f t="shared" si="4"/>
        <v>4</v>
      </c>
      <c r="K4" t="s">
        <v>51</v>
      </c>
      <c r="L4">
        <f t="shared" si="5"/>
        <v>-2</v>
      </c>
      <c r="M4" t="s">
        <v>50</v>
      </c>
      <c r="N4">
        <f t="shared" si="6"/>
        <v>4</v>
      </c>
      <c r="O4" t="s">
        <v>51</v>
      </c>
      <c r="P4">
        <f t="shared" si="7"/>
        <v>-2</v>
      </c>
      <c r="Q4" t="s">
        <v>48</v>
      </c>
      <c r="R4">
        <f t="shared" si="8"/>
        <v>0</v>
      </c>
      <c r="S4" t="s">
        <v>52</v>
      </c>
      <c r="T4">
        <f t="shared" si="9"/>
        <v>-2</v>
      </c>
      <c r="U4" t="s">
        <v>48</v>
      </c>
      <c r="V4">
        <f t="shared" si="10"/>
        <v>0</v>
      </c>
      <c r="W4" t="s">
        <v>50</v>
      </c>
      <c r="X4">
        <f t="shared" si="11"/>
        <v>4</v>
      </c>
      <c r="Y4" t="s">
        <v>47</v>
      </c>
      <c r="Z4">
        <f t="shared" si="12"/>
        <v>2</v>
      </c>
      <c r="AA4" t="s">
        <v>51</v>
      </c>
      <c r="AB4">
        <f t="shared" si="13"/>
        <v>-2</v>
      </c>
      <c r="AC4" t="s">
        <v>49</v>
      </c>
      <c r="AD4">
        <f t="shared" si="14"/>
        <v>21</v>
      </c>
      <c r="AE4" t="s">
        <v>47</v>
      </c>
      <c r="AF4">
        <f t="shared" si="15"/>
        <v>2</v>
      </c>
      <c r="AG4" t="s">
        <v>48</v>
      </c>
      <c r="AH4">
        <f t="shared" si="16"/>
        <v>0</v>
      </c>
      <c r="AI4" t="s">
        <v>49</v>
      </c>
      <c r="AJ4">
        <f t="shared" si="17"/>
        <v>21</v>
      </c>
      <c r="AK4" t="s">
        <v>53</v>
      </c>
      <c r="AL4">
        <f t="shared" si="19"/>
        <v>-3</v>
      </c>
      <c r="AM4" t="s">
        <v>50</v>
      </c>
      <c r="AN4">
        <f t="shared" si="18"/>
        <v>4</v>
      </c>
    </row>
    <row r="5" spans="1:40" x14ac:dyDescent="0.2">
      <c r="A5" t="s">
        <v>54</v>
      </c>
      <c r="B5">
        <f t="shared" si="0"/>
        <v>6</v>
      </c>
      <c r="C5" t="s">
        <v>55</v>
      </c>
      <c r="D5">
        <f t="shared" si="1"/>
        <v>24</v>
      </c>
      <c r="E5" t="s">
        <v>56</v>
      </c>
      <c r="F5">
        <f t="shared" si="2"/>
        <v>22</v>
      </c>
      <c r="G5" t="s">
        <v>57</v>
      </c>
      <c r="H5">
        <f t="shared" si="3"/>
        <v>21</v>
      </c>
      <c r="I5" t="s">
        <v>58</v>
      </c>
      <c r="J5">
        <f t="shared" si="4"/>
        <v>4</v>
      </c>
      <c r="K5" t="s">
        <v>56</v>
      </c>
      <c r="L5">
        <f t="shared" si="5"/>
        <v>22</v>
      </c>
      <c r="M5" t="s">
        <v>59</v>
      </c>
      <c r="N5">
        <f t="shared" si="6"/>
        <v>19</v>
      </c>
      <c r="O5" t="s">
        <v>59</v>
      </c>
      <c r="P5">
        <f t="shared" si="7"/>
        <v>19</v>
      </c>
      <c r="Q5" t="s">
        <v>59</v>
      </c>
      <c r="R5">
        <f t="shared" si="8"/>
        <v>19</v>
      </c>
      <c r="S5" t="s">
        <v>58</v>
      </c>
      <c r="T5">
        <f t="shared" si="9"/>
        <v>4</v>
      </c>
      <c r="U5" t="s">
        <v>59</v>
      </c>
      <c r="V5">
        <f t="shared" si="10"/>
        <v>19</v>
      </c>
      <c r="W5" t="s">
        <v>57</v>
      </c>
      <c r="X5">
        <f t="shared" si="11"/>
        <v>21</v>
      </c>
      <c r="Y5" t="s">
        <v>59</v>
      </c>
      <c r="Z5">
        <f t="shared" si="12"/>
        <v>19</v>
      </c>
      <c r="AA5" t="s">
        <v>56</v>
      </c>
      <c r="AB5">
        <f t="shared" si="13"/>
        <v>22</v>
      </c>
      <c r="AC5" t="s">
        <v>57</v>
      </c>
      <c r="AD5">
        <f t="shared" si="14"/>
        <v>21</v>
      </c>
      <c r="AE5" t="s">
        <v>59</v>
      </c>
      <c r="AF5">
        <f t="shared" si="15"/>
        <v>19</v>
      </c>
      <c r="AG5" t="s">
        <v>57</v>
      </c>
      <c r="AH5">
        <f t="shared" si="16"/>
        <v>21</v>
      </c>
      <c r="AI5" t="s">
        <v>54</v>
      </c>
      <c r="AJ5">
        <f t="shared" si="17"/>
        <v>6</v>
      </c>
      <c r="AK5" t="s">
        <v>58</v>
      </c>
      <c r="AL5">
        <f t="shared" si="19"/>
        <v>4</v>
      </c>
      <c r="AM5" t="s">
        <v>54</v>
      </c>
      <c r="AN5">
        <f t="shared" si="18"/>
        <v>6</v>
      </c>
    </row>
    <row r="6" spans="1:40" x14ac:dyDescent="0.2">
      <c r="A6" t="s">
        <v>60</v>
      </c>
      <c r="B6">
        <f t="shared" si="0"/>
        <v>-5</v>
      </c>
      <c r="C6" t="s">
        <v>61</v>
      </c>
      <c r="D6">
        <f t="shared" si="1"/>
        <v>-9</v>
      </c>
      <c r="E6" t="s">
        <v>60</v>
      </c>
      <c r="F6">
        <f t="shared" si="2"/>
        <v>-5</v>
      </c>
      <c r="G6" t="s">
        <v>62</v>
      </c>
      <c r="H6">
        <f t="shared" si="3"/>
        <v>2</v>
      </c>
      <c r="I6" t="s">
        <v>63</v>
      </c>
      <c r="J6">
        <f t="shared" si="4"/>
        <v>20</v>
      </c>
      <c r="K6" s="2" t="s">
        <v>64</v>
      </c>
      <c r="L6">
        <f t="shared" si="5"/>
        <v>21</v>
      </c>
      <c r="M6" t="s">
        <v>64</v>
      </c>
      <c r="N6">
        <f t="shared" si="6"/>
        <v>21</v>
      </c>
      <c r="O6" t="s">
        <v>64</v>
      </c>
      <c r="P6">
        <f t="shared" si="7"/>
        <v>21</v>
      </c>
      <c r="Q6" t="s">
        <v>65</v>
      </c>
      <c r="R6">
        <f t="shared" si="8"/>
        <v>0</v>
      </c>
      <c r="S6" t="s">
        <v>62</v>
      </c>
      <c r="T6">
        <f t="shared" si="9"/>
        <v>2</v>
      </c>
      <c r="U6" t="s">
        <v>60</v>
      </c>
      <c r="V6">
        <f t="shared" si="10"/>
        <v>-5</v>
      </c>
      <c r="W6" t="s">
        <v>66</v>
      </c>
      <c r="X6">
        <f t="shared" si="11"/>
        <v>19</v>
      </c>
      <c r="Y6" t="s">
        <v>60</v>
      </c>
      <c r="Z6">
        <f t="shared" si="12"/>
        <v>-5</v>
      </c>
      <c r="AA6" t="s">
        <v>67</v>
      </c>
      <c r="AB6">
        <f t="shared" si="13"/>
        <v>9</v>
      </c>
      <c r="AC6" t="s">
        <v>68</v>
      </c>
      <c r="AD6">
        <f t="shared" si="14"/>
        <v>-5</v>
      </c>
      <c r="AE6" t="s">
        <v>65</v>
      </c>
      <c r="AF6">
        <f t="shared" si="15"/>
        <v>0</v>
      </c>
      <c r="AG6" t="s">
        <v>65</v>
      </c>
      <c r="AH6">
        <f t="shared" si="16"/>
        <v>0</v>
      </c>
      <c r="AI6" t="s">
        <v>67</v>
      </c>
      <c r="AJ6">
        <f t="shared" si="17"/>
        <v>9</v>
      </c>
      <c r="AK6" t="s">
        <v>60</v>
      </c>
      <c r="AL6">
        <f t="shared" si="19"/>
        <v>-5</v>
      </c>
      <c r="AM6" t="s">
        <v>62</v>
      </c>
      <c r="AN6">
        <f t="shared" si="18"/>
        <v>2</v>
      </c>
    </row>
    <row r="7" spans="1:40" x14ac:dyDescent="0.2">
      <c r="A7" t="s">
        <v>69</v>
      </c>
      <c r="B7">
        <f t="shared" si="0"/>
        <v>21</v>
      </c>
      <c r="C7" t="s">
        <v>70</v>
      </c>
      <c r="D7">
        <f t="shared" si="1"/>
        <v>23</v>
      </c>
      <c r="E7" t="s">
        <v>71</v>
      </c>
      <c r="F7">
        <f t="shared" si="2"/>
        <v>7</v>
      </c>
      <c r="G7" t="s">
        <v>69</v>
      </c>
      <c r="H7">
        <f t="shared" si="3"/>
        <v>21</v>
      </c>
      <c r="I7" t="s">
        <v>72</v>
      </c>
      <c r="J7">
        <f t="shared" si="4"/>
        <v>21</v>
      </c>
      <c r="K7" t="s">
        <v>73</v>
      </c>
      <c r="L7">
        <f t="shared" si="5"/>
        <v>-2</v>
      </c>
      <c r="M7" t="s">
        <v>74</v>
      </c>
      <c r="N7">
        <f t="shared" si="6"/>
        <v>19</v>
      </c>
      <c r="O7" t="s">
        <v>75</v>
      </c>
      <c r="P7">
        <f t="shared" si="7"/>
        <v>-1</v>
      </c>
      <c r="Q7" t="s">
        <v>72</v>
      </c>
      <c r="R7">
        <f t="shared" si="8"/>
        <v>21</v>
      </c>
      <c r="S7" t="s">
        <v>71</v>
      </c>
      <c r="T7">
        <f t="shared" si="9"/>
        <v>7</v>
      </c>
      <c r="U7" t="s">
        <v>71</v>
      </c>
      <c r="V7">
        <f t="shared" si="10"/>
        <v>7</v>
      </c>
      <c r="W7" t="s">
        <v>76</v>
      </c>
      <c r="X7">
        <f t="shared" si="11"/>
        <v>21</v>
      </c>
      <c r="Y7" t="s">
        <v>70</v>
      </c>
      <c r="Z7">
        <f t="shared" si="12"/>
        <v>23</v>
      </c>
      <c r="AA7" t="s">
        <v>77</v>
      </c>
      <c r="AB7">
        <f t="shared" si="13"/>
        <v>5</v>
      </c>
      <c r="AC7" t="s">
        <v>76</v>
      </c>
      <c r="AD7">
        <f t="shared" si="14"/>
        <v>21</v>
      </c>
      <c r="AE7" t="s">
        <v>74</v>
      </c>
      <c r="AF7">
        <f t="shared" si="15"/>
        <v>19</v>
      </c>
      <c r="AG7" t="s">
        <v>77</v>
      </c>
      <c r="AH7">
        <f t="shared" si="16"/>
        <v>5</v>
      </c>
      <c r="AI7" t="s">
        <v>74</v>
      </c>
      <c r="AJ7">
        <f t="shared" si="17"/>
        <v>19</v>
      </c>
      <c r="AK7" t="s">
        <v>78</v>
      </c>
      <c r="AL7">
        <f t="shared" si="19"/>
        <v>-1</v>
      </c>
      <c r="AM7" t="s">
        <v>71</v>
      </c>
      <c r="AN7">
        <f t="shared" si="18"/>
        <v>7</v>
      </c>
    </row>
    <row r="8" spans="1:40" x14ac:dyDescent="0.2">
      <c r="A8" t="s">
        <v>79</v>
      </c>
      <c r="B8">
        <f t="shared" si="0"/>
        <v>4</v>
      </c>
      <c r="C8" t="s">
        <v>80</v>
      </c>
      <c r="D8">
        <f t="shared" si="1"/>
        <v>25</v>
      </c>
      <c r="E8" t="s">
        <v>81</v>
      </c>
      <c r="F8">
        <f>_xlfn.XLOOKUP(E8,$A$15:$A$69,$B$15:$B$69)</f>
        <v>24</v>
      </c>
      <c r="G8" t="s">
        <v>81</v>
      </c>
      <c r="H8">
        <f t="shared" si="3"/>
        <v>24</v>
      </c>
      <c r="I8" t="s">
        <v>82</v>
      </c>
      <c r="J8">
        <f t="shared" si="4"/>
        <v>-3</v>
      </c>
      <c r="K8" t="s">
        <v>82</v>
      </c>
      <c r="L8">
        <f t="shared" si="5"/>
        <v>-3</v>
      </c>
      <c r="M8" t="s">
        <v>83</v>
      </c>
      <c r="N8">
        <f t="shared" si="6"/>
        <v>0</v>
      </c>
      <c r="O8" t="s">
        <v>84</v>
      </c>
      <c r="P8">
        <f t="shared" si="7"/>
        <v>-4</v>
      </c>
      <c r="Q8" t="s">
        <v>85</v>
      </c>
      <c r="R8">
        <f t="shared" si="8"/>
        <v>23</v>
      </c>
      <c r="S8" t="s">
        <v>82</v>
      </c>
      <c r="T8">
        <f t="shared" si="9"/>
        <v>-3</v>
      </c>
      <c r="U8" t="s">
        <v>81</v>
      </c>
      <c r="V8">
        <f t="shared" si="10"/>
        <v>24</v>
      </c>
      <c r="W8" t="s">
        <v>81</v>
      </c>
      <c r="X8">
        <f t="shared" si="11"/>
        <v>24</v>
      </c>
      <c r="Y8" t="s">
        <v>81</v>
      </c>
      <c r="Z8">
        <f t="shared" si="12"/>
        <v>24</v>
      </c>
      <c r="AA8" t="s">
        <v>86</v>
      </c>
      <c r="AB8">
        <f t="shared" si="13"/>
        <v>3</v>
      </c>
      <c r="AC8" t="s">
        <v>87</v>
      </c>
      <c r="AD8">
        <f t="shared" si="14"/>
        <v>2</v>
      </c>
      <c r="AE8" t="s">
        <v>81</v>
      </c>
      <c r="AF8">
        <f t="shared" si="15"/>
        <v>24</v>
      </c>
      <c r="AG8" t="s">
        <v>86</v>
      </c>
      <c r="AH8">
        <f t="shared" si="16"/>
        <v>3</v>
      </c>
      <c r="AI8" t="s">
        <v>86</v>
      </c>
      <c r="AJ8">
        <f t="shared" si="17"/>
        <v>3</v>
      </c>
      <c r="AK8" t="s">
        <v>88</v>
      </c>
      <c r="AL8">
        <f t="shared" si="19"/>
        <v>22</v>
      </c>
      <c r="AM8" t="s">
        <v>82</v>
      </c>
      <c r="AN8">
        <f t="shared" si="18"/>
        <v>-3</v>
      </c>
    </row>
    <row r="9" spans="1:40" x14ac:dyDescent="0.2">
      <c r="A9" t="s">
        <v>89</v>
      </c>
      <c r="B9">
        <f t="shared" si="0"/>
        <v>-3</v>
      </c>
      <c r="C9" t="s">
        <v>90</v>
      </c>
      <c r="D9">
        <f t="shared" si="1"/>
        <v>26</v>
      </c>
      <c r="E9" t="s">
        <v>90</v>
      </c>
      <c r="F9">
        <f t="shared" si="2"/>
        <v>26</v>
      </c>
      <c r="G9" t="s">
        <v>91</v>
      </c>
      <c r="H9">
        <f t="shared" si="3"/>
        <v>4</v>
      </c>
      <c r="I9" t="s">
        <v>92</v>
      </c>
      <c r="J9">
        <f t="shared" si="4"/>
        <v>20</v>
      </c>
      <c r="K9" t="s">
        <v>93</v>
      </c>
      <c r="L9">
        <f t="shared" si="5"/>
        <v>9</v>
      </c>
      <c r="M9" t="s">
        <v>92</v>
      </c>
      <c r="N9">
        <f t="shared" si="6"/>
        <v>20</v>
      </c>
      <c r="O9" t="s">
        <v>92</v>
      </c>
      <c r="P9">
        <f t="shared" si="7"/>
        <v>20</v>
      </c>
      <c r="Q9" t="s">
        <v>92</v>
      </c>
      <c r="R9">
        <f t="shared" si="8"/>
        <v>20</v>
      </c>
      <c r="S9" t="s">
        <v>91</v>
      </c>
      <c r="T9">
        <f t="shared" si="9"/>
        <v>4</v>
      </c>
      <c r="U9" t="s">
        <v>90</v>
      </c>
      <c r="V9">
        <f t="shared" si="10"/>
        <v>26</v>
      </c>
      <c r="W9" t="s">
        <v>94</v>
      </c>
      <c r="X9">
        <f t="shared" si="11"/>
        <v>27</v>
      </c>
      <c r="Y9" t="s">
        <v>92</v>
      </c>
      <c r="Z9">
        <f t="shared" si="12"/>
        <v>20</v>
      </c>
      <c r="AA9" t="s">
        <v>89</v>
      </c>
      <c r="AB9">
        <f t="shared" si="13"/>
        <v>-3</v>
      </c>
      <c r="AC9" t="s">
        <v>91</v>
      </c>
      <c r="AD9">
        <f t="shared" si="14"/>
        <v>4</v>
      </c>
      <c r="AE9" t="s">
        <v>90</v>
      </c>
      <c r="AF9">
        <f t="shared" si="15"/>
        <v>26</v>
      </c>
      <c r="AG9" t="s">
        <v>91</v>
      </c>
      <c r="AH9">
        <f t="shared" si="16"/>
        <v>4</v>
      </c>
      <c r="AI9" t="s">
        <v>89</v>
      </c>
      <c r="AJ9">
        <f t="shared" si="17"/>
        <v>-3</v>
      </c>
      <c r="AK9" t="s">
        <v>93</v>
      </c>
      <c r="AL9">
        <f t="shared" si="19"/>
        <v>9</v>
      </c>
      <c r="AM9" t="s">
        <v>90</v>
      </c>
      <c r="AN9">
        <f t="shared" si="18"/>
        <v>26</v>
      </c>
    </row>
    <row r="10" spans="1:40" x14ac:dyDescent="0.2">
      <c r="A10">
        <v>-17</v>
      </c>
      <c r="C10">
        <v>-9</v>
      </c>
      <c r="E10">
        <v>-13</v>
      </c>
      <c r="G10">
        <v>-11</v>
      </c>
      <c r="I10">
        <v>-14</v>
      </c>
      <c r="K10">
        <v>-15</v>
      </c>
      <c r="M10">
        <v>-9</v>
      </c>
      <c r="O10">
        <v>-13</v>
      </c>
      <c r="Q10">
        <v>-10</v>
      </c>
      <c r="S10">
        <v>-11</v>
      </c>
      <c r="U10">
        <v>-14</v>
      </c>
      <c r="W10">
        <v>-14</v>
      </c>
      <c r="Y10">
        <v>-11</v>
      </c>
      <c r="AA10">
        <v>-12</v>
      </c>
      <c r="AC10">
        <v>-15</v>
      </c>
      <c r="AE10">
        <v>-15</v>
      </c>
      <c r="AG10">
        <v>-11</v>
      </c>
      <c r="AI10">
        <v>-18</v>
      </c>
      <c r="AK10">
        <v>-15</v>
      </c>
      <c r="AM10">
        <v>-10</v>
      </c>
    </row>
    <row r="11" spans="1:40" x14ac:dyDescent="0.2">
      <c r="B11" t="str">
        <f>A1</f>
        <v>Jayde</v>
      </c>
      <c r="D11" t="str">
        <f>C1</f>
        <v>Alex</v>
      </c>
      <c r="F11" t="str">
        <f>E1</f>
        <v>Hunter</v>
      </c>
      <c r="H11" t="str">
        <f>G1</f>
        <v>Zach</v>
      </c>
      <c r="J11" t="str">
        <f>I1</f>
        <v>Jack Munro</v>
      </c>
      <c r="L11" t="str">
        <f>K1</f>
        <v>Nolan</v>
      </c>
      <c r="N11" t="str">
        <f>M1</f>
        <v>Jack King</v>
      </c>
      <c r="P11" t="str">
        <f>O1</f>
        <v>Colin</v>
      </c>
      <c r="R11" t="str">
        <f>Q1</f>
        <v>Cam</v>
      </c>
      <c r="T11" t="str">
        <f>S1</f>
        <v>Dex</v>
      </c>
      <c r="V11" t="str">
        <f>U1</f>
        <v>Dan</v>
      </c>
      <c r="X11" t="str">
        <f>W1</f>
        <v>Dylan</v>
      </c>
      <c r="Z11" t="str">
        <f>Y1</f>
        <v>Ryan</v>
      </c>
      <c r="AB11" t="str">
        <f>AA1</f>
        <v>Marshall</v>
      </c>
      <c r="AD11" t="str">
        <f>AC1</f>
        <v>Gabe</v>
      </c>
      <c r="AF11" t="str">
        <f>AE1</f>
        <v>Curtis</v>
      </c>
      <c r="AH11" t="str">
        <f>AG1</f>
        <v>Nolan Irv</v>
      </c>
      <c r="AJ11" t="str">
        <f>AI1</f>
        <v>Caleb</v>
      </c>
      <c r="AL11" t="str">
        <f>AK1</f>
        <v>Big Daddy Trav</v>
      </c>
      <c r="AN11" t="str">
        <f>AM1</f>
        <v>Ramen Noodles</v>
      </c>
    </row>
    <row r="12" spans="1:40" x14ac:dyDescent="0.2">
      <c r="B12" s="3">
        <f>(SUM(B2:B9)-LARGE(B2:B9,1))-LARGE(B2:B9,2)</f>
        <v>-13</v>
      </c>
      <c r="C12" s="3"/>
      <c r="D12" s="3">
        <f>(SUM(D2:D9)-LARGE(D2:D9,1))-LARGE(D2:D9,2)</f>
        <v>26</v>
      </c>
      <c r="E12" s="3"/>
      <c r="F12" s="3">
        <f t="shared" ref="F12:AN12" si="20">(SUM(F2:F9)-LARGE(F2:F9,1))-LARGE(F2:F9,2)</f>
        <v>13</v>
      </c>
      <c r="G12" s="3"/>
      <c r="H12" s="3">
        <f t="shared" si="20"/>
        <v>30</v>
      </c>
      <c r="I12" s="3"/>
      <c r="J12" s="3">
        <f t="shared" si="20"/>
        <v>14</v>
      </c>
      <c r="K12" s="3"/>
      <c r="L12" s="3">
        <f t="shared" si="20"/>
        <v>-12</v>
      </c>
      <c r="M12" s="3"/>
      <c r="N12" s="3">
        <f t="shared" si="20"/>
        <v>31</v>
      </c>
      <c r="O12" s="3"/>
      <c r="P12" s="3">
        <f t="shared" si="20"/>
        <v>-6</v>
      </c>
      <c r="Q12" s="3"/>
      <c r="R12" s="3">
        <f t="shared" si="20"/>
        <v>25</v>
      </c>
      <c r="S12" s="3"/>
      <c r="T12" s="3">
        <f>(SUM(T2:T9)-LARGE(T2:T9,1))-LARGE(T2:T9,2)</f>
        <v>-13</v>
      </c>
      <c r="U12" s="3"/>
      <c r="V12" s="3">
        <f>(SUM(V2:V9)-LARGE(V2:V9,1))-LARGE(V2:V9,2)</f>
        <v>10</v>
      </c>
      <c r="W12" s="3"/>
      <c r="X12" s="3">
        <f>(SUM(X2:X9)-LARGE(X2:X9,1))-LARGE(X2:X9,2)</f>
        <v>51</v>
      </c>
      <c r="Y12" s="3"/>
      <c r="Z12" s="3">
        <f>(SUM(Z2:Z9)-LARGE(Z2:Z9,1))-LARGE(Z2:Z9,2)</f>
        <v>22</v>
      </c>
      <c r="AA12" s="3"/>
      <c r="AB12" s="3">
        <f t="shared" si="20"/>
        <v>-12</v>
      </c>
      <c r="AC12" s="3"/>
      <c r="AD12" s="3">
        <f t="shared" si="20"/>
        <v>7</v>
      </c>
      <c r="AE12" s="3"/>
      <c r="AF12" s="3">
        <f t="shared" si="20"/>
        <v>22</v>
      </c>
      <c r="AG12" s="3"/>
      <c r="AH12" s="3">
        <f t="shared" si="20"/>
        <v>-7</v>
      </c>
      <c r="AI12" s="3"/>
      <c r="AJ12" s="3">
        <f t="shared" si="20"/>
        <v>-3</v>
      </c>
      <c r="AK12" s="3"/>
      <c r="AL12" s="3">
        <f t="shared" si="20"/>
        <v>-18</v>
      </c>
      <c r="AM12" s="3"/>
      <c r="AN12" s="3">
        <f t="shared" si="20"/>
        <v>-2</v>
      </c>
    </row>
    <row r="13" spans="1:40" x14ac:dyDescent="0.2">
      <c r="V13" s="4"/>
    </row>
    <row r="14" spans="1:40" x14ac:dyDescent="0.2">
      <c r="A14" t="s">
        <v>95</v>
      </c>
      <c r="D14" t="s">
        <v>96</v>
      </c>
      <c r="E14" t="s">
        <v>1</v>
      </c>
    </row>
    <row r="15" spans="1:40" x14ac:dyDescent="0.2">
      <c r="A15" t="s">
        <v>40</v>
      </c>
      <c r="B15">
        <v>-8</v>
      </c>
      <c r="D15" t="s">
        <v>36</v>
      </c>
      <c r="E15">
        <f t="shared" ref="E15:E34" si="21">_xlfn.XLOOKUP(D15,$B$11:$AN$11,$B$12:$AN$12)</f>
        <v>-18</v>
      </c>
    </row>
    <row r="16" spans="1:40" x14ac:dyDescent="0.2">
      <c r="A16" t="s">
        <v>41</v>
      </c>
      <c r="B16">
        <v>-11</v>
      </c>
      <c r="D16" t="s">
        <v>18</v>
      </c>
      <c r="E16">
        <f t="shared" si="21"/>
        <v>-13</v>
      </c>
    </row>
    <row r="17" spans="1:11" x14ac:dyDescent="0.2">
      <c r="A17" t="s">
        <v>42</v>
      </c>
      <c r="B17">
        <v>-3</v>
      </c>
      <c r="D17" t="s">
        <v>0</v>
      </c>
      <c r="E17">
        <f t="shared" si="21"/>
        <v>-13</v>
      </c>
    </row>
    <row r="18" spans="1:11" x14ac:dyDescent="0.2">
      <c r="A18" t="s">
        <v>45</v>
      </c>
      <c r="B18">
        <v>-3</v>
      </c>
      <c r="D18" t="s">
        <v>10</v>
      </c>
      <c r="E18">
        <f t="shared" si="21"/>
        <v>-12</v>
      </c>
      <c r="G18" t="s">
        <v>97</v>
      </c>
    </row>
    <row r="19" spans="1:11" x14ac:dyDescent="0.2">
      <c r="A19" t="s">
        <v>43</v>
      </c>
      <c r="B19">
        <v>-7</v>
      </c>
      <c r="D19" t="s">
        <v>26</v>
      </c>
      <c r="E19">
        <f t="shared" si="21"/>
        <v>-12</v>
      </c>
    </row>
    <row r="20" spans="1:11" x14ac:dyDescent="0.2">
      <c r="A20" t="s">
        <v>44</v>
      </c>
      <c r="B20">
        <v>-6</v>
      </c>
      <c r="D20" t="s">
        <v>32</v>
      </c>
      <c r="E20">
        <f t="shared" si="21"/>
        <v>-7</v>
      </c>
    </row>
    <row r="21" spans="1:11" x14ac:dyDescent="0.2">
      <c r="A21" t="s">
        <v>46</v>
      </c>
      <c r="B21">
        <v>-5</v>
      </c>
      <c r="D21" t="s">
        <v>14</v>
      </c>
      <c r="E21">
        <f t="shared" si="21"/>
        <v>-6</v>
      </c>
      <c r="H21" t="s">
        <v>98</v>
      </c>
    </row>
    <row r="22" spans="1:11" x14ac:dyDescent="0.2">
      <c r="A22" t="s">
        <v>53</v>
      </c>
      <c r="B22">
        <v>-3</v>
      </c>
      <c r="D22" t="s">
        <v>34</v>
      </c>
      <c r="E22">
        <f t="shared" si="21"/>
        <v>-3</v>
      </c>
    </row>
    <row r="23" spans="1:11" x14ac:dyDescent="0.2">
      <c r="A23" t="s">
        <v>48</v>
      </c>
      <c r="B23">
        <v>0</v>
      </c>
      <c r="D23" t="s">
        <v>38</v>
      </c>
      <c r="E23">
        <f t="shared" si="21"/>
        <v>-2</v>
      </c>
    </row>
    <row r="24" spans="1:11" x14ac:dyDescent="0.2">
      <c r="A24" t="s">
        <v>52</v>
      </c>
      <c r="B24">
        <v>-2</v>
      </c>
      <c r="D24" t="s">
        <v>28</v>
      </c>
      <c r="E24">
        <f t="shared" si="21"/>
        <v>7</v>
      </c>
      <c r="K24" t="s">
        <v>99</v>
      </c>
    </row>
    <row r="25" spans="1:11" x14ac:dyDescent="0.2">
      <c r="A25" t="s">
        <v>49</v>
      </c>
      <c r="B25">
        <f>IF('[1]Day 2'!B25&gt;2,'[1]Day 2'!B25+16,'[1]Day 2'!B25)</f>
        <v>21</v>
      </c>
      <c r="D25" t="s">
        <v>20</v>
      </c>
      <c r="E25">
        <f t="shared" si="21"/>
        <v>10</v>
      </c>
    </row>
    <row r="26" spans="1:11" x14ac:dyDescent="0.2">
      <c r="A26" t="s">
        <v>51</v>
      </c>
      <c r="B26">
        <v>-2</v>
      </c>
      <c r="D26" t="s">
        <v>4</v>
      </c>
      <c r="E26">
        <f t="shared" si="21"/>
        <v>13</v>
      </c>
    </row>
    <row r="27" spans="1:11" x14ac:dyDescent="0.2">
      <c r="A27" t="s">
        <v>47</v>
      </c>
      <c r="B27">
        <v>2</v>
      </c>
      <c r="D27" t="s">
        <v>8</v>
      </c>
      <c r="E27">
        <f t="shared" si="21"/>
        <v>14</v>
      </c>
    </row>
    <row r="28" spans="1:11" x14ac:dyDescent="0.2">
      <c r="A28" t="s">
        <v>50</v>
      </c>
      <c r="B28">
        <v>4</v>
      </c>
      <c r="D28" t="s">
        <v>24</v>
      </c>
      <c r="E28">
        <f t="shared" si="21"/>
        <v>22</v>
      </c>
    </row>
    <row r="29" spans="1:11" x14ac:dyDescent="0.2">
      <c r="A29" t="s">
        <v>55</v>
      </c>
      <c r="B29">
        <f>IF('[1]Day 2'!B29&gt;2,'[1]Day 2'!B29+16,'[1]Day 2'!B29)</f>
        <v>24</v>
      </c>
      <c r="D29" t="s">
        <v>30</v>
      </c>
      <c r="E29">
        <f t="shared" si="21"/>
        <v>22</v>
      </c>
    </row>
    <row r="30" spans="1:11" x14ac:dyDescent="0.2">
      <c r="A30" t="s">
        <v>54</v>
      </c>
      <c r="B30">
        <v>6</v>
      </c>
      <c r="D30" t="s">
        <v>16</v>
      </c>
      <c r="E30">
        <f t="shared" si="21"/>
        <v>25</v>
      </c>
    </row>
    <row r="31" spans="1:11" x14ac:dyDescent="0.2">
      <c r="A31" t="s">
        <v>57</v>
      </c>
      <c r="B31">
        <f>IF('[1]Day 2'!B31&gt;2,'[1]Day 2'!B31+16,'[1]Day 2'!B31)</f>
        <v>21</v>
      </c>
      <c r="D31" t="s">
        <v>2</v>
      </c>
      <c r="E31">
        <f t="shared" si="21"/>
        <v>26</v>
      </c>
    </row>
    <row r="32" spans="1:11" x14ac:dyDescent="0.2">
      <c r="A32" t="s">
        <v>59</v>
      </c>
      <c r="B32">
        <f>IF('[1]Day 2'!B32&gt;2,'[1]Day 2'!B32+16,'[1]Day 2'!B32)</f>
        <v>19</v>
      </c>
      <c r="D32" t="s">
        <v>6</v>
      </c>
      <c r="E32">
        <f t="shared" si="21"/>
        <v>30</v>
      </c>
    </row>
    <row r="33" spans="1:5" x14ac:dyDescent="0.2">
      <c r="A33" t="s">
        <v>56</v>
      </c>
      <c r="B33">
        <f>IF('[1]Day 2'!B33&gt;2,'[1]Day 2'!B33+16,'[1]Day 2'!B33)</f>
        <v>22</v>
      </c>
      <c r="D33" t="s">
        <v>12</v>
      </c>
      <c r="E33">
        <f t="shared" si="21"/>
        <v>31</v>
      </c>
    </row>
    <row r="34" spans="1:5" x14ac:dyDescent="0.2">
      <c r="A34" t="s">
        <v>58</v>
      </c>
      <c r="B34">
        <v>4</v>
      </c>
      <c r="D34" t="s">
        <v>22</v>
      </c>
      <c r="E34">
        <f t="shared" si="21"/>
        <v>51</v>
      </c>
    </row>
    <row r="35" spans="1:5" x14ac:dyDescent="0.2">
      <c r="A35" t="s">
        <v>61</v>
      </c>
      <c r="B35">
        <v>-9</v>
      </c>
    </row>
    <row r="36" spans="1:5" x14ac:dyDescent="0.2">
      <c r="A36" t="s">
        <v>64</v>
      </c>
      <c r="B36">
        <f>IF('[1]Day 2'!B36&gt;2,'[1]Day 2'!B36+16,'[1]Day 2'!B36)</f>
        <v>21</v>
      </c>
    </row>
    <row r="37" spans="1:5" x14ac:dyDescent="0.2">
      <c r="A37" t="s">
        <v>66</v>
      </c>
      <c r="B37">
        <f>IF('[1]Day 2'!B37&gt;2,'[1]Day 2'!B37+16,'[1]Day 2'!B37)</f>
        <v>19</v>
      </c>
    </row>
    <row r="38" spans="1:5" x14ac:dyDescent="0.2">
      <c r="A38" t="s">
        <v>68</v>
      </c>
      <c r="B38">
        <v>-5</v>
      </c>
    </row>
    <row r="39" spans="1:5" x14ac:dyDescent="0.2">
      <c r="A39" t="s">
        <v>65</v>
      </c>
      <c r="B39">
        <v>0</v>
      </c>
    </row>
    <row r="40" spans="1:5" x14ac:dyDescent="0.2">
      <c r="A40" t="s">
        <v>63</v>
      </c>
      <c r="B40">
        <f>IF('[1]Day 2'!B40&gt;2,'[1]Day 2'!B40+16,'[1]Day 2'!B40)</f>
        <v>20</v>
      </c>
    </row>
    <row r="41" spans="1:5" x14ac:dyDescent="0.2">
      <c r="A41" t="s">
        <v>67</v>
      </c>
      <c r="B41">
        <v>9</v>
      </c>
    </row>
    <row r="42" spans="1:5" x14ac:dyDescent="0.2">
      <c r="A42" t="s">
        <v>62</v>
      </c>
      <c r="B42">
        <v>2</v>
      </c>
    </row>
    <row r="43" spans="1:5" x14ac:dyDescent="0.2">
      <c r="A43" t="s">
        <v>60</v>
      </c>
      <c r="B43">
        <v>-5</v>
      </c>
    </row>
    <row r="44" spans="1:5" x14ac:dyDescent="0.2">
      <c r="A44" t="s">
        <v>74</v>
      </c>
      <c r="B44">
        <f>IF('[1]Day 2'!B44&gt;2,'[1]Day 2'!B44+16,'[1]Day 2'!B44)</f>
        <v>19</v>
      </c>
    </row>
    <row r="45" spans="1:5" x14ac:dyDescent="0.2">
      <c r="A45" t="s">
        <v>76</v>
      </c>
      <c r="B45">
        <f>IF('[1]Day 2'!B45&gt;2,'[1]Day 2'!B45+16,'[1]Day 2'!B45)</f>
        <v>21</v>
      </c>
    </row>
    <row r="46" spans="1:5" x14ac:dyDescent="0.2">
      <c r="A46" t="s">
        <v>70</v>
      </c>
      <c r="B46">
        <f>IF('[1]Day 2'!B46&gt;2,'[1]Day 2'!B46+16,'[1]Day 2'!B46)</f>
        <v>23</v>
      </c>
    </row>
    <row r="47" spans="1:5" x14ac:dyDescent="0.2">
      <c r="A47" t="s">
        <v>72</v>
      </c>
      <c r="B47">
        <f>IF('[1]Day 2'!B47&gt;2,'[1]Day 2'!B47+16,'[1]Day 2'!B47)</f>
        <v>21</v>
      </c>
    </row>
    <row r="48" spans="1:5" x14ac:dyDescent="0.2">
      <c r="A48" t="s">
        <v>71</v>
      </c>
      <c r="B48">
        <v>7</v>
      </c>
    </row>
    <row r="49" spans="1:2" x14ac:dyDescent="0.2">
      <c r="A49" t="s">
        <v>73</v>
      </c>
      <c r="B49">
        <v>-2</v>
      </c>
    </row>
    <row r="50" spans="1:2" x14ac:dyDescent="0.2">
      <c r="A50" t="s">
        <v>77</v>
      </c>
      <c r="B50">
        <v>5</v>
      </c>
    </row>
    <row r="51" spans="1:2" x14ac:dyDescent="0.2">
      <c r="A51" t="s">
        <v>69</v>
      </c>
      <c r="B51">
        <f>IF('[1]Day 2'!B51&gt;2,'[1]Day 2'!B51+16,'[1]Day 2'!B51)</f>
        <v>21</v>
      </c>
    </row>
    <row r="52" spans="1:2" x14ac:dyDescent="0.2">
      <c r="A52" t="s">
        <v>78</v>
      </c>
      <c r="B52">
        <v>-1</v>
      </c>
    </row>
    <row r="53" spans="1:2" x14ac:dyDescent="0.2">
      <c r="A53" t="s">
        <v>75</v>
      </c>
      <c r="B53">
        <v>-1</v>
      </c>
    </row>
    <row r="54" spans="1:2" x14ac:dyDescent="0.2">
      <c r="A54" t="s">
        <v>83</v>
      </c>
      <c r="B54">
        <v>0</v>
      </c>
    </row>
    <row r="55" spans="1:2" x14ac:dyDescent="0.2">
      <c r="A55" t="s">
        <v>85</v>
      </c>
      <c r="B55">
        <f>IF('[1]Day 2'!B55&gt;2,'[1]Day 2'!B55+16,'[1]Day 2'!B55)</f>
        <v>23</v>
      </c>
    </row>
    <row r="56" spans="1:2" x14ac:dyDescent="0.2">
      <c r="A56" t="s">
        <v>84</v>
      </c>
      <c r="B56">
        <v>-4</v>
      </c>
    </row>
    <row r="57" spans="1:2" x14ac:dyDescent="0.2">
      <c r="A57" t="s">
        <v>80</v>
      </c>
      <c r="B57">
        <f>IF('[1]Day 2'!B57&gt;2,'[1]Day 2'!B57+16,'[1]Day 2'!B57)</f>
        <v>25</v>
      </c>
    </row>
    <row r="58" spans="1:2" x14ac:dyDescent="0.2">
      <c r="A58" t="s">
        <v>81</v>
      </c>
      <c r="B58">
        <f>IF('[1]Day 2'!B58&gt;2,'[1]Day 2'!B58+16,'[1]Day 2'!B58)</f>
        <v>24</v>
      </c>
    </row>
    <row r="59" spans="1:2" x14ac:dyDescent="0.2">
      <c r="A59" t="s">
        <v>86</v>
      </c>
      <c r="B59">
        <v>3</v>
      </c>
    </row>
    <row r="60" spans="1:2" x14ac:dyDescent="0.2">
      <c r="A60" t="s">
        <v>88</v>
      </c>
      <c r="B60">
        <f>IF('[1]Day 2'!B60&gt;2,'[1]Day 2'!B60+16,'[1]Day 2'!B60)</f>
        <v>22</v>
      </c>
    </row>
    <row r="61" spans="1:2" x14ac:dyDescent="0.2">
      <c r="A61" t="s">
        <v>82</v>
      </c>
      <c r="B61">
        <v>-3</v>
      </c>
    </row>
    <row r="62" spans="1:2" x14ac:dyDescent="0.2">
      <c r="A62" t="s">
        <v>79</v>
      </c>
      <c r="B62">
        <v>4</v>
      </c>
    </row>
    <row r="63" spans="1:2" x14ac:dyDescent="0.2">
      <c r="A63" t="s">
        <v>87</v>
      </c>
      <c r="B63">
        <v>2</v>
      </c>
    </row>
    <row r="64" spans="1:2" x14ac:dyDescent="0.2">
      <c r="A64" t="s">
        <v>92</v>
      </c>
      <c r="B64">
        <f>IF('[1]Day 2'!B64&gt;2,'[1]Day 2'!B64+16,'[1]Day 2'!B64)</f>
        <v>20</v>
      </c>
    </row>
    <row r="65" spans="1:2" x14ac:dyDescent="0.2">
      <c r="A65" t="s">
        <v>90</v>
      </c>
      <c r="B65">
        <f>IF('[1]Day 2'!B65&gt;2,'[1]Day 2'!B65+16,'[1]Day 2'!B65)</f>
        <v>26</v>
      </c>
    </row>
    <row r="66" spans="1:2" x14ac:dyDescent="0.2">
      <c r="A66" t="s">
        <v>93</v>
      </c>
      <c r="B66">
        <v>9</v>
      </c>
    </row>
    <row r="67" spans="1:2" x14ac:dyDescent="0.2">
      <c r="A67" t="s">
        <v>91</v>
      </c>
      <c r="B67">
        <v>4</v>
      </c>
    </row>
    <row r="68" spans="1:2" x14ac:dyDescent="0.2">
      <c r="A68" t="s">
        <v>89</v>
      </c>
      <c r="B68">
        <v>-3</v>
      </c>
    </row>
    <row r="69" spans="1:2" x14ac:dyDescent="0.2">
      <c r="A69" t="s">
        <v>94</v>
      </c>
      <c r="B69">
        <f>IF('[1]Day 2'!B69&gt;2,'[1]Day 2'!B69+16,'[1]Day 2'!B69)</f>
        <v>27</v>
      </c>
    </row>
  </sheetData>
  <conditionalFormatting sqref="B15:B69">
    <cfRule type="cellIs" dxfId="0" priority="1" operator="greaterThan">
      <formula>2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McKenna</dc:creator>
  <cp:lastModifiedBy>Nolan McKenna</cp:lastModifiedBy>
  <dcterms:created xsi:type="dcterms:W3CDTF">2026-04-05T23:57:11Z</dcterms:created>
  <dcterms:modified xsi:type="dcterms:W3CDTF">2026-04-07T01:01:55Z</dcterms:modified>
</cp:coreProperties>
</file>